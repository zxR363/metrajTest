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tuphane MAHAL" sheetId="1" state="visible" r:id="rId1"/>
    <sheet xmlns:r="http://schemas.openxmlformats.org/officeDocument/2006/relationships" name="minha" sheetId="2" state="visible" r:id="rId2"/>
    <sheet xmlns:r="http://schemas.openxmlformats.org/officeDocument/2006/relationships" name="Icm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30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8" customWidth="1" min="14" max="14"/>
    <col width="22" customWidth="1" min="15" max="15"/>
    <col width="25" customWidth="1" min="16" max="16"/>
    <col width="12" customWidth="1" min="17" max="17"/>
    <col width="14" customWidth="1" min="18" max="18"/>
    <col width="24" customWidth="1" min="19" max="19"/>
    <col width="27" customWidth="1" min="20" max="20"/>
    <col width="17" customWidth="1" min="21" max="21"/>
    <col width="20" customWidth="1" min="22" max="22"/>
    <col width="19" customWidth="1" min="23" max="23"/>
    <col width="16" customWidth="1" min="24" max="24"/>
  </cols>
  <sheetData>
    <row r="1">
      <c r="A1" s="1" t="inlineStr">
        <is>
          <t>Varsayilan Proje (jenerik)</t>
        </is>
      </c>
    </row>
    <row r="3">
      <c r="A3" s="2" t="inlineStr">
        <is>
          <t>TIP</t>
        </is>
      </c>
      <c r="B3" s="2" t="inlineStr">
        <is>
          <t>KAT</t>
        </is>
      </c>
      <c r="C3" s="2" t="inlineStr">
        <is>
          <t>DOSEME KODU</t>
        </is>
      </c>
      <c r="D3" s="2" t="inlineStr">
        <is>
          <t>SUPURGELIK KODU</t>
        </is>
      </c>
      <c r="E3" s="2" t="inlineStr">
        <is>
          <t>DUVAR KODU</t>
        </is>
      </c>
      <c r="F3" s="2" t="inlineStr">
        <is>
          <t>TAVAN KODU</t>
        </is>
      </c>
      <c r="G3" s="2" t="inlineStr">
        <is>
          <t>MAHAL KODU</t>
        </is>
      </c>
      <c r="H3" s="2" t="inlineStr">
        <is>
          <t>MAHAL ADI</t>
        </is>
      </c>
      <c r="I3" s="2" t="inlineStr">
        <is>
          <t>ADET</t>
        </is>
      </c>
      <c r="J3" s="2" t="inlineStr">
        <is>
          <t>ALAN (M2)</t>
        </is>
      </c>
      <c r="K3" s="2" t="inlineStr">
        <is>
          <t>CEVRE (M)</t>
        </is>
      </c>
      <c r="L3" s="2" t="inlineStr">
        <is>
          <t>YUKSEKLIK (M)</t>
        </is>
      </c>
      <c r="M3" s="2" t="inlineStr">
        <is>
          <t>DOSEME MINHA (M2)</t>
        </is>
      </c>
      <c r="N3" s="2" t="inlineStr">
        <is>
          <t>TAVAN MINHA (M2)</t>
        </is>
      </c>
      <c r="O3" s="2" t="inlineStr">
        <is>
          <t>SUPURGELIK MINHA (M)</t>
        </is>
      </c>
      <c r="P3" s="2" t="inlineStr">
        <is>
          <t>DUVAR MINHA EKSTRA (M2)</t>
        </is>
      </c>
      <c r="Q3" s="2" t="inlineStr">
        <is>
          <t>KAPI ADET</t>
        </is>
      </c>
      <c r="R3" s="2" t="inlineStr">
        <is>
          <t>PENCERE ADET</t>
        </is>
      </c>
      <c r="S3" s="2" t="inlineStr">
        <is>
          <t>TOPLAM KAPI ALANI (M2)</t>
        </is>
      </c>
      <c r="T3" s="2" t="inlineStr">
        <is>
          <t>TOPLAM PENCERE ALANI (M2)</t>
        </is>
      </c>
      <c r="U3" s="2" t="inlineStr">
        <is>
          <t>NET DOSEME (M2)</t>
        </is>
      </c>
      <c r="V3" s="2" t="inlineStr">
        <is>
          <t>NET SUPURGELIK (M)</t>
        </is>
      </c>
      <c r="W3" s="2" t="inlineStr">
        <is>
          <t>NET IC DUVAR (M2)</t>
        </is>
      </c>
      <c r="X3" s="2" t="inlineStr">
        <is>
          <t>NET TAVAN (M2)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4" t="inlineStr">
        <is>
          <t>GENEL TOPLAM</t>
        </is>
      </c>
      <c r="I5" s="3" t="n"/>
      <c r="J5" s="4">
        <f>SUM(J4:J3)</f>
        <v/>
      </c>
      <c r="K5" s="4">
        <f>SUM(K4:K3)</f>
        <v/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4">
        <f>SUM(U4:U3)</f>
        <v/>
      </c>
      <c r="V5" s="4">
        <f>SUM(V4:V3)</f>
        <v/>
      </c>
      <c r="W5" s="4">
        <f>SUM(W4:W3)</f>
        <v/>
      </c>
      <c r="X5" s="4">
        <f>SUM(X4:X3)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MINHA - Kapi/Pencere Dusumleri</t>
        </is>
      </c>
    </row>
    <row r="3">
      <c r="A3" s="6" t="inlineStr">
        <is>
          <t>KAT</t>
        </is>
      </c>
      <c r="B3" s="6" t="inlineStr">
        <is>
          <t>TUR</t>
        </is>
      </c>
      <c r="C3" s="6" t="inlineStr">
        <is>
          <t>OLCU (cm/cm)</t>
        </is>
      </c>
      <c r="D3" s="6" t="inlineStr">
        <is>
          <t>ADET</t>
        </is>
      </c>
      <c r="E3" s="6" t="inlineStr">
        <is>
          <t>EN (m)</t>
        </is>
      </c>
      <c r="F3" s="6" t="inlineStr">
        <is>
          <t>YUKSEKLIK (m)</t>
        </is>
      </c>
      <c r="G3" s="6" t="inlineStr">
        <is>
          <t>TOPLAM (m2)</t>
        </is>
      </c>
    </row>
    <row r="5">
      <c r="A5" s="7" t="inlineStr">
        <is>
          <t>TOPLAM</t>
        </is>
      </c>
      <c r="G5" s="7">
        <f>SUM(G4:G3)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Varsayilan Proje (jenerik)</t>
        </is>
      </c>
    </row>
    <row r="2">
      <c r="A2" s="5" t="inlineStr">
        <is>
          <t>ICMAL - Insaat Isleri Kesfi</t>
        </is>
      </c>
    </row>
    <row r="4">
      <c r="A4" s="6" t="inlineStr">
        <is>
          <t>KATEGORI</t>
        </is>
      </c>
      <c r="B4" s="6" t="inlineStr">
        <is>
          <t>POZ NO</t>
        </is>
      </c>
      <c r="C4" s="6" t="inlineStr">
        <is>
          <t>TANIM</t>
        </is>
      </c>
      <c r="D4" s="6" t="inlineStr">
        <is>
          <t>BIRIM</t>
        </is>
      </c>
      <c r="E4" s="6" t="inlineStr">
        <is>
          <t>MIKTAR</t>
        </is>
      </c>
      <c r="F4" s="6" t="inlineStr">
        <is>
          <t>BIRIM FIYAT (TL)</t>
        </is>
      </c>
      <c r="G4" s="6" t="inlineStr">
        <is>
          <t>TUTAR (TL)</t>
        </is>
      </c>
    </row>
    <row r="5">
      <c r="A5" s="8" t="inlineStr">
        <is>
          <t>DOGRAMA</t>
        </is>
      </c>
      <c r="B5" s="9" t="n"/>
      <c r="C5" s="9" t="n"/>
      <c r="D5" s="9" t="n"/>
      <c r="E5" s="9" t="n"/>
      <c r="F5" s="9" t="n"/>
      <c r="G5" s="9" t="n"/>
    </row>
    <row r="6">
      <c r="A6" t="inlineStr"/>
      <c r="B6" t="inlineStr">
        <is>
          <t>15.430.1104</t>
        </is>
      </c>
      <c r="C6" t="inlineStr">
        <is>
          <t>Ahsap Ic Kapi (komple set)</t>
        </is>
      </c>
      <c r="D6" t="inlineStr">
        <is>
          <t>m2</t>
        </is>
      </c>
      <c r="E6" t="n">
        <v>9</v>
      </c>
      <c r="F6" t="n">
        <v>1450</v>
      </c>
      <c r="G6">
        <f>E6*F6</f>
        <v/>
      </c>
    </row>
    <row r="7">
      <c r="A7" t="inlineStr"/>
      <c r="B7" t="inlineStr">
        <is>
          <t>15.430.1201</t>
        </is>
      </c>
      <c r="C7" t="inlineStr">
        <is>
          <t>Aluminyum Pencere (sabit + acilir)</t>
        </is>
      </c>
      <c r="D7" t="inlineStr">
        <is>
          <t>m2</t>
        </is>
      </c>
      <c r="E7" t="n">
        <v>25.5</v>
      </c>
      <c r="F7" t="n">
        <v>1850</v>
      </c>
      <c r="G7">
        <f>E7*F7</f>
        <v/>
      </c>
    </row>
    <row r="8">
      <c r="C8" s="10" t="inlineStr">
        <is>
          <t>DOGRAMA ARA TOPLAM</t>
        </is>
      </c>
      <c r="G8" s="10">
        <f>SUM(G6:G7)</f>
        <v/>
      </c>
    </row>
    <row r="10">
      <c r="A10" s="3" t="n"/>
      <c r="B10" s="3" t="n"/>
      <c r="C10" s="4" t="inlineStr">
        <is>
          <t>GENEL TOPLAM (TL)</t>
        </is>
      </c>
      <c r="D10" s="3" t="n"/>
      <c r="E10" s="3" t="n"/>
      <c r="F10" s="3" t="n"/>
      <c r="G10" s="4">
        <f>SUM(G5:G8)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2026-05-06T13:44:15Z</dcterms:created>
  <dcterms:modified xmlns:dcterms="http://purl.org/dc/terms/" xmlns:xsi="http://www.w3.org/2001/XMLSchema-instance" xsi:type="dcterms:W3CDTF">2026-05-06T13:44:15Z</dcterms:modified>
</cp:coreProperties>
</file>